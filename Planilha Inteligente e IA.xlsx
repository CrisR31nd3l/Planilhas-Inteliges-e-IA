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ris_\Downloads\"/>
    </mc:Choice>
  </mc:AlternateContent>
  <xr:revisionPtr revIDLastSave="0" documentId="13_ncr:1_{8FBC1A02-642B-4BC2-B805-B598903DEA0A}" xr6:coauthVersionLast="47" xr6:coauthVersionMax="47" xr10:uidLastSave="{00000000-0000-0000-0000-000000000000}"/>
  <bookViews>
    <workbookView xWindow="-98" yWindow="-98" windowWidth="23236" windowHeight="13875" activeTab="3" xr2:uid="{00000000-000D-0000-FFFF-FFFF00000000}"/>
  </bookViews>
  <sheets>
    <sheet name="DATA" sheetId="1" r:id="rId1"/>
    <sheet name="CONTROLLER" sheetId="2" r:id="rId2"/>
    <sheet name="CAIXINHA" sheetId="4" r:id="rId3"/>
    <sheet name="DASHBOARD" sheetId="3" r:id="rId4"/>
  </sheets>
  <definedNames>
    <definedName name="SegmentaçãodeDados_MÊS">#N/A</definedName>
  </definedNames>
  <calcPr calcId="191028"/>
  <pivotCaches>
    <pivotCache cacheId="3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3" i="4"/>
</calcChain>
</file>

<file path=xl/sharedStrings.xml><?xml version="1.0" encoding="utf-8"?>
<sst xmlns="http://schemas.openxmlformats.org/spreadsheetml/2006/main" count="246" uniqueCount="98">
  <si>
    <t>Transferência</t>
  </si>
  <si>
    <t>Recebido</t>
  </si>
  <si>
    <t>Alimentação</t>
  </si>
  <si>
    <t>Pendente</t>
  </si>
  <si>
    <t>Transporte</t>
  </si>
  <si>
    <t>Pago</t>
  </si>
  <si>
    <t>Lazer</t>
  </si>
  <si>
    <t>Saúde</t>
  </si>
  <si>
    <t>Educação</t>
  </si>
  <si>
    <t>Investimentos</t>
  </si>
  <si>
    <t>Serviços</t>
  </si>
  <si>
    <t>DATA</t>
  </si>
  <si>
    <t xml:space="preserve">TIPO </t>
  </si>
  <si>
    <t>CATEGORIA</t>
  </si>
  <si>
    <t>DESCRIÇÃO</t>
  </si>
  <si>
    <t>VALOR</t>
  </si>
  <si>
    <t>OPERAÇÃO BANCÁRIA</t>
  </si>
  <si>
    <t>STATUS</t>
  </si>
  <si>
    <t>Rótulos de Linha</t>
  </si>
  <si>
    <t>Total Geral</t>
  </si>
  <si>
    <t>Soma de VALOR</t>
  </si>
  <si>
    <t>Quanto tive de saída por categoria sumarizado em reais</t>
  </si>
  <si>
    <t>MÊS</t>
  </si>
  <si>
    <t>Data de lançamento</t>
  </si>
  <si>
    <t>Depósito Reservado</t>
  </si>
  <si>
    <t>Total Reservado</t>
  </si>
  <si>
    <t>Meta de Reserva</t>
  </si>
  <si>
    <t>07/01/2025</t>
  </si>
  <si>
    <t>Saída</t>
  </si>
  <si>
    <t>Manutenção residencial</t>
  </si>
  <si>
    <t>Boleto</t>
  </si>
  <si>
    <t>25/06/2024</t>
  </si>
  <si>
    <t>Entrada</t>
  </si>
  <si>
    <t>Mensalidade escolar</t>
  </si>
  <si>
    <t>Pagamento</t>
  </si>
  <si>
    <t>12/11/2024</t>
  </si>
  <si>
    <t>02/11/2024</t>
  </si>
  <si>
    <t>Consulta médica</t>
  </si>
  <si>
    <t>Depósito</t>
  </si>
  <si>
    <t>17/05/2024</t>
  </si>
  <si>
    <t>Refeição em restaurante</t>
  </si>
  <si>
    <t>17/08/2024</t>
  </si>
  <si>
    <t>24/08/2024</t>
  </si>
  <si>
    <t>Compra online</t>
  </si>
  <si>
    <t>20/06/2024</t>
  </si>
  <si>
    <t>19/10/2024</t>
  </si>
  <si>
    <t>11/11/2024</t>
  </si>
  <si>
    <t>Pagamento de conta</t>
  </si>
  <si>
    <t>15/03/2024</t>
  </si>
  <si>
    <t>31/12/2024</t>
  </si>
  <si>
    <t>18/07/2024</t>
  </si>
  <si>
    <t>08/10/2024</t>
  </si>
  <si>
    <t>Pix</t>
  </si>
  <si>
    <t>02/07/2024</t>
  </si>
  <si>
    <t>Moradia</t>
  </si>
  <si>
    <t>Compra em supermercado</t>
  </si>
  <si>
    <t>10/07/2024</t>
  </si>
  <si>
    <t>14/09/2024</t>
  </si>
  <si>
    <t>11/06/2024</t>
  </si>
  <si>
    <t>05/06/2024</t>
  </si>
  <si>
    <t>26/02/2024</t>
  </si>
  <si>
    <t>Depósito bancário</t>
  </si>
  <si>
    <t>28/09/2024</t>
  </si>
  <si>
    <t>12/08/2024</t>
  </si>
  <si>
    <t>10/03/2024</t>
  </si>
  <si>
    <t>08/02/2024</t>
  </si>
  <si>
    <t>20/10/2024</t>
  </si>
  <si>
    <t>22/04/2024</t>
  </si>
  <si>
    <t>19/12/2024</t>
  </si>
  <si>
    <t>07/09/2024</t>
  </si>
  <si>
    <t>09/02/2024</t>
  </si>
  <si>
    <t>30/09/2024</t>
  </si>
  <si>
    <t>05/11/2024</t>
  </si>
  <si>
    <t>01/09/2024</t>
  </si>
  <si>
    <t>26/08/2024</t>
  </si>
  <si>
    <t>03/11/2024</t>
  </si>
  <si>
    <t>18/03/2024</t>
  </si>
  <si>
    <t>27/07/2024</t>
  </si>
  <si>
    <t>21/07/2024</t>
  </si>
  <si>
    <t>12/01/2025</t>
  </si>
  <si>
    <t>20/05/2024</t>
  </si>
  <si>
    <t>29/11/2024</t>
  </si>
  <si>
    <t>06/11/2024</t>
  </si>
  <si>
    <t>14/12/2024</t>
  </si>
  <si>
    <t>17/12/2024</t>
  </si>
  <si>
    <t>22/01/2024</t>
  </si>
  <si>
    <t>23/03/2024</t>
  </si>
  <si>
    <t>14/07/2024</t>
  </si>
  <si>
    <t>05/01/2025</t>
  </si>
  <si>
    <t>01/07/2024</t>
  </si>
  <si>
    <t>11/02/2024</t>
  </si>
  <si>
    <t>21/08/2024</t>
  </si>
  <si>
    <t>06/06/2024</t>
  </si>
  <si>
    <t>16/11/2024</t>
  </si>
  <si>
    <t>18/04/2024</t>
  </si>
  <si>
    <t>16/06/2024</t>
  </si>
  <si>
    <t>19/04/2024</t>
  </si>
  <si>
    <t>11/10/2024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</si>
</sst>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center"/>
    </xf>
    <xf numFmtId="14" fontId="0" fillId="0" borderId="0" xfId="0" applyNumberFormat="1"/>
    <xf numFmtId="0" fontId="1" fillId="2" borderId="0" xfId="1"/>
    <xf numFmtId="166" fontId="0" fillId="0" borderId="0" xfId="0" applyNumberFormat="1" applyAlignment="1">
      <alignment horizontal="center"/>
    </xf>
  </cellXfs>
  <cellStyles count="2">
    <cellStyle name="60% - Ênfase5" xfId="1" builtinId="48"/>
    <cellStyle name="Normal" xfId="0" builtinId="0"/>
  </cellStyles>
  <dxfs count="15">
    <dxf>
      <numFmt numFmtId="166" formatCode="&quot;R$&quot;\ #,##0.00"/>
    </dxf>
    <dxf>
      <numFmt numFmtId="166" formatCode="&quot;R$&quot;\ #,##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R$&quot;\ #,##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font>
        <color theme="0"/>
        <name val="Arial Black"/>
        <family val="2"/>
        <scheme val="none"/>
      </font>
      <fill>
        <gradientFill degree="225">
          <stop position="0">
            <color theme="0" tint="-5.0965910824915313E-2"/>
          </stop>
          <stop position="1">
            <color theme="4"/>
          </stop>
        </gradient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4" tint="-0.49998474074526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1" defaultTableStyle="TableStyleMedium2" defaultPivotStyle="PivotStyleLight16">
    <tableStyle name="SlicerStyleDark1 2" pivot="0" table="0" count="10" xr9:uid="{C9AA7A34-D088-4CC9-8AF8-B1ADCB2458A0}">
      <tableStyleElement type="wholeTable" dxfId="8"/>
      <tableStyleElement type="headerRow" dxfId="7"/>
    </tableStyle>
  </tableStyles>
  <colors>
    <mruColors>
      <color rgb="FF262064"/>
      <color rgb="FF336699"/>
      <color rgb="FF0066CC"/>
      <color rgb="FF81D8D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39994506668294322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 tint="-0.24994659260841701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theme="4" tint="0.59996337778862885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4" tint="0.3999450666829432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Inteligente e IA.xlsx]CONTROLLER!Tabela dinâmica1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5">
                  <a:lumMod val="60000"/>
                  <a:lumOff val="4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412058099291258E-2"/>
          <c:y val="7.3725014403952127E-2"/>
          <c:w val="0.94803154894310504"/>
          <c:h val="0.593410899401637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lumOff val="4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CONTROLLER!$A$5:$A$11</c:f>
              <c:strCache>
                <c:ptCount val="6"/>
                <c:pt idx="0">
                  <c:v>Alimentação</c:v>
                </c:pt>
                <c:pt idx="1">
                  <c:v>Educação</c:v>
                </c:pt>
                <c:pt idx="2">
                  <c:v>Investimentos</c:v>
                </c:pt>
                <c:pt idx="3">
                  <c:v>Saúde</c:v>
                </c:pt>
                <c:pt idx="4">
                  <c:v>Serviços</c:v>
                </c:pt>
                <c:pt idx="5">
                  <c:v>Transporte</c:v>
                </c:pt>
              </c:strCache>
            </c:strRef>
          </c:cat>
          <c:val>
            <c:numRef>
              <c:f>CONTROLLER!$B$5:$B$11</c:f>
              <c:numCache>
                <c:formatCode>"R$"\ #,##0.00</c:formatCode>
                <c:ptCount val="6"/>
                <c:pt idx="0">
                  <c:v>7955.11</c:v>
                </c:pt>
                <c:pt idx="1">
                  <c:v>6430.9299999999994</c:v>
                </c:pt>
                <c:pt idx="2">
                  <c:v>2347.4499999999998</c:v>
                </c:pt>
                <c:pt idx="3">
                  <c:v>6837.8</c:v>
                </c:pt>
                <c:pt idx="4">
                  <c:v>8948.75</c:v>
                </c:pt>
                <c:pt idx="5">
                  <c:v>4555.58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F-45C7-891B-293F2DEB0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520127"/>
        <c:axId val="1410521087"/>
      </c:barChart>
      <c:catAx>
        <c:axId val="14105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521087"/>
        <c:crosses val="autoZero"/>
        <c:auto val="1"/>
        <c:lblAlgn val="ctr"/>
        <c:lblOffset val="100"/>
        <c:noMultiLvlLbl val="0"/>
      </c:catAx>
      <c:valAx>
        <c:axId val="1410521087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1052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Inteligente e IA.xlsx]CONTROLLER!Tabela dinâmica2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5">
                  <a:lumMod val="60000"/>
                  <a:lumOff val="4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678321370465166E-2"/>
          <c:y val="4.1299755369855543E-2"/>
          <c:w val="0.93876130828114124"/>
          <c:h val="0.84108349996981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CONTROLLER!$F$4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lumOff val="4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CONTROLLER!$E$5:$E$12</c:f>
              <c:strCache>
                <c:ptCount val="7"/>
                <c:pt idx="0">
                  <c:v>Alimentação</c:v>
                </c:pt>
                <c:pt idx="1">
                  <c:v>Educação</c:v>
                </c:pt>
                <c:pt idx="2">
                  <c:v>Investimentos</c:v>
                </c:pt>
                <c:pt idx="3">
                  <c:v>Lazer</c:v>
                </c:pt>
                <c:pt idx="4">
                  <c:v>Saúde</c:v>
                </c:pt>
                <c:pt idx="5">
                  <c:v>Transporte</c:v>
                </c:pt>
                <c:pt idx="6">
                  <c:v>Moradia</c:v>
                </c:pt>
              </c:strCache>
            </c:strRef>
          </c:cat>
          <c:val>
            <c:numRef>
              <c:f>CONTROLLER!$F$5:$F$12</c:f>
              <c:numCache>
                <c:formatCode>"R$"\ #,##0.00</c:formatCode>
                <c:ptCount val="7"/>
                <c:pt idx="0">
                  <c:v>3938.17</c:v>
                </c:pt>
                <c:pt idx="1">
                  <c:v>13382.29</c:v>
                </c:pt>
                <c:pt idx="2">
                  <c:v>2195.8000000000002</c:v>
                </c:pt>
                <c:pt idx="3">
                  <c:v>3317.1499999999996</c:v>
                </c:pt>
                <c:pt idx="4">
                  <c:v>3610.52</c:v>
                </c:pt>
                <c:pt idx="5">
                  <c:v>15355.789999999999</c:v>
                </c:pt>
                <c:pt idx="6">
                  <c:v>3915.5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6-4ADF-938B-BED619B4E1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1893103"/>
        <c:axId val="1401893583"/>
      </c:barChart>
      <c:catAx>
        <c:axId val="140189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893583"/>
        <c:crosses val="autoZero"/>
        <c:auto val="1"/>
        <c:lblAlgn val="ctr"/>
        <c:lblOffset val="100"/>
        <c:noMultiLvlLbl val="0"/>
      </c:catAx>
      <c:valAx>
        <c:axId val="140189358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0189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777777777777779E-3"/>
          <c:y val="0"/>
          <c:w val="0.93888888888888888"/>
          <c:h val="0.8416746864975212"/>
        </c:manualLayout>
      </c:layou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rgbClr val="262064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"R$"\ #,##0.00</c:formatCode>
                <c:ptCount val="1"/>
                <c:pt idx="0">
                  <c:v>13263.760000000002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B-4DA0-BE82-3E974E79CE27}"/>
            </c:ext>
          </c:extLst>
        </c:ser>
        <c:ser>
          <c:idx val="1"/>
          <c:order val="1"/>
          <c:spPr>
            <a:gradFill>
              <a:gsLst>
                <a:gs pos="55303">
                  <a:srgbClr val="ABC7E8"/>
                </a:gs>
                <a:gs pos="46259">
                  <a:srgbClr val="A6C2E6"/>
                </a:gs>
                <a:gs pos="36462">
                  <a:srgbClr val="A1BDE4"/>
                </a:gs>
                <a:gs pos="24346">
                  <a:srgbClr val="9AB6E1"/>
                </a:gs>
                <a:gs pos="16068">
                  <a:srgbClr val="96B2DF"/>
                </a:gs>
                <a:gs pos="0">
                  <a:srgbClr val="7030A0">
                    <a:alpha val="50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CAIXINHA!$D$4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B-4DA0-BE82-3E974E79C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2138672"/>
        <c:axId val="1912144912"/>
      </c:barChart>
      <c:catAx>
        <c:axId val="19121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144912"/>
        <c:crosses val="autoZero"/>
        <c:auto val="1"/>
        <c:lblAlgn val="ctr"/>
        <c:lblOffset val="100"/>
        <c:noMultiLvlLbl val="0"/>
      </c:catAx>
      <c:valAx>
        <c:axId val="191214491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91213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png"/><Relationship Id="rId3" Type="http://schemas.openxmlformats.org/officeDocument/2006/relationships/image" Target="../media/image2.svg"/><Relationship Id="rId7" Type="http://schemas.openxmlformats.org/officeDocument/2006/relationships/hyperlink" Target="#DATA!A1"/><Relationship Id="rId12" Type="http://schemas.openxmlformats.org/officeDocument/2006/relationships/image" Target="../media/image9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image" Target="../media/image8.png"/><Relationship Id="rId5" Type="http://schemas.openxmlformats.org/officeDocument/2006/relationships/image" Target="../media/image3.png"/><Relationship Id="rId15" Type="http://schemas.openxmlformats.org/officeDocument/2006/relationships/chart" Target="../charts/chart3.xml"/><Relationship Id="rId10" Type="http://schemas.openxmlformats.org/officeDocument/2006/relationships/image" Target="../media/image7.png"/><Relationship Id="rId4" Type="http://schemas.openxmlformats.org/officeDocument/2006/relationships/chart" Target="../charts/chart2.xml"/><Relationship Id="rId9" Type="http://schemas.openxmlformats.org/officeDocument/2006/relationships/image" Target="../media/image6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175532</xdr:colOff>
      <xdr:row>31</xdr:row>
      <xdr:rowOff>17750</xdr:rowOff>
    </xdr:from>
    <xdr:to>
      <xdr:col>19</xdr:col>
      <xdr:colOff>361950</xdr:colOff>
      <xdr:row>52</xdr:row>
      <xdr:rowOff>42861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7A0E8D7D-A8E8-BC9D-E463-54A141F44EC1}"/>
            </a:ext>
          </a:extLst>
        </xdr:cNvPr>
        <xdr:cNvGrpSpPr/>
      </xdr:nvGrpSpPr>
      <xdr:grpSpPr>
        <a:xfrm>
          <a:off x="1413782" y="5627975"/>
          <a:ext cx="11845018" cy="3825586"/>
          <a:chOff x="1713820" y="4184938"/>
          <a:chExt cx="8446077" cy="3825586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8D57D9E2-AED5-BCFE-23A6-6477E1DCFAF8}"/>
              </a:ext>
            </a:extLst>
          </xdr:cNvPr>
          <xdr:cNvGrpSpPr/>
        </xdr:nvGrpSpPr>
        <xdr:grpSpPr>
          <a:xfrm>
            <a:off x="1713820" y="4184938"/>
            <a:ext cx="8446077" cy="3825586"/>
            <a:chOff x="1746972" y="4356388"/>
            <a:chExt cx="8446077" cy="3825586"/>
          </a:xfrm>
        </xdr:grpSpPr>
        <xdr:grpSp>
          <xdr:nvGrpSpPr>
            <xdr:cNvPr id="25" name="Agrupar 24">
              <a:extLst>
                <a:ext uri="{FF2B5EF4-FFF2-40B4-BE49-F238E27FC236}">
                  <a16:creationId xmlns:a16="http://schemas.microsoft.com/office/drawing/2014/main" id="{428450F8-1313-F5FE-396D-77248EF9CE4E}"/>
                </a:ext>
              </a:extLst>
            </xdr:cNvPr>
            <xdr:cNvGrpSpPr/>
          </xdr:nvGrpSpPr>
          <xdr:grpSpPr>
            <a:xfrm>
              <a:off x="1746972" y="4356388"/>
              <a:ext cx="8446077" cy="3658961"/>
              <a:chOff x="1728108" y="256494"/>
              <a:chExt cx="4565196" cy="3645354"/>
            </a:xfrm>
          </xdr:grpSpPr>
          <xdr:sp macro="" textlink="">
            <xdr:nvSpPr>
              <xdr:cNvPr id="28" name="Retângulo: Cantos Arredondados 27">
                <a:extLst>
                  <a:ext uri="{FF2B5EF4-FFF2-40B4-BE49-F238E27FC236}">
                    <a16:creationId xmlns:a16="http://schemas.microsoft.com/office/drawing/2014/main" id="{E78F419B-7609-7A42-19CB-E3D84D7D265D}"/>
                  </a:ext>
                </a:extLst>
              </xdr:cNvPr>
              <xdr:cNvSpPr/>
            </xdr:nvSpPr>
            <xdr:spPr>
              <a:xfrm>
                <a:off x="1734230" y="280307"/>
                <a:ext cx="4552951" cy="3621541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29" name="Retângulo: Cantos Superiores Arredondados 28">
                <a:extLst>
                  <a:ext uri="{FF2B5EF4-FFF2-40B4-BE49-F238E27FC236}">
                    <a16:creationId xmlns:a16="http://schemas.microsoft.com/office/drawing/2014/main" id="{CE83DA64-A3E2-BC49-3CCD-A0F2CF4FDD73}"/>
                  </a:ext>
                </a:extLst>
              </xdr:cNvPr>
              <xdr:cNvSpPr/>
            </xdr:nvSpPr>
            <xdr:spPr>
              <a:xfrm>
                <a:off x="1728108" y="256494"/>
                <a:ext cx="4565196" cy="906235"/>
              </a:xfrm>
              <a:prstGeom prst="round2SameRect">
                <a:avLst>
                  <a:gd name="adj1" fmla="val 44792"/>
                  <a:gd name="adj2" fmla="val 3125"/>
                </a:avLst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graphicFrame macro="">
          <xdr:nvGraphicFramePr>
            <xdr:cNvPr id="26" name="Gráfico 25">
              <a:extLst>
                <a:ext uri="{FF2B5EF4-FFF2-40B4-BE49-F238E27FC236}">
                  <a16:creationId xmlns:a16="http://schemas.microsoft.com/office/drawing/2014/main" id="{557D5B2D-2E68-DE37-EDD7-EE5AB4728FC8}"/>
                </a:ext>
              </a:extLst>
            </xdr:cNvPr>
            <xdr:cNvGraphicFramePr>
              <a:graphicFrameLocks/>
            </xdr:cNvGraphicFramePr>
          </xdr:nvGraphicFramePr>
          <xdr:xfrm>
            <a:off x="1759961" y="5438775"/>
            <a:ext cx="8137380" cy="27431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0AD59E83-58BF-1E64-567A-BD033A926205}"/>
                </a:ext>
              </a:extLst>
            </xdr:cNvPr>
            <xdr:cNvSpPr txBox="1"/>
          </xdr:nvSpPr>
          <xdr:spPr>
            <a:xfrm>
              <a:off x="4981575" y="4667250"/>
              <a:ext cx="1781175" cy="3238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2000" b="1" kern="1200">
                  <a:solidFill>
                    <a:schemeClr val="bg1"/>
                  </a:solidFill>
                  <a:latin typeface="Arial Narrow" panose="020B0606020202030204" pitchFamily="34" charset="0"/>
                </a:rPr>
                <a:t>Saídas</a:t>
              </a:r>
            </a:p>
          </xdr:txBody>
        </xdr:sp>
      </xdr:grpSp>
      <xdr:pic>
        <xdr:nvPicPr>
          <xdr:cNvPr id="31" name="Gráfico 30" descr="Dinheiro voador estrutura de tópicos">
            <a:extLst>
              <a:ext uri="{FF2B5EF4-FFF2-40B4-BE49-F238E27FC236}">
                <a16:creationId xmlns:a16="http://schemas.microsoft.com/office/drawing/2014/main" id="{D3A9129A-4112-774E-C74D-D8480EC6D2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943100" y="4200524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99332</xdr:colOff>
      <xdr:row>5</xdr:row>
      <xdr:rowOff>97612</xdr:rowOff>
    </xdr:from>
    <xdr:to>
      <xdr:col>11</xdr:col>
      <xdr:colOff>209550</xdr:colOff>
      <xdr:row>29</xdr:row>
      <xdr:rowOff>90488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B05FEDB0-9A23-3B7A-45BC-EA47975A89A4}"/>
            </a:ext>
          </a:extLst>
        </xdr:cNvPr>
        <xdr:cNvGrpSpPr/>
      </xdr:nvGrpSpPr>
      <xdr:grpSpPr>
        <a:xfrm>
          <a:off x="1337582" y="1002487"/>
          <a:ext cx="6587218" cy="4336276"/>
          <a:chOff x="1713820" y="240487"/>
          <a:chExt cx="4574721" cy="3675648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3D78F192-6B79-EBD3-92AD-8E4FB8F13870}"/>
              </a:ext>
            </a:extLst>
          </xdr:cNvPr>
          <xdr:cNvGrpSpPr/>
        </xdr:nvGrpSpPr>
        <xdr:grpSpPr>
          <a:xfrm>
            <a:off x="1713820" y="257174"/>
            <a:ext cx="4574721" cy="3658961"/>
            <a:chOff x="1728108" y="257174"/>
            <a:chExt cx="4574721" cy="3658961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A0A2963E-041C-F106-4466-6DFF63E3174C}"/>
                </a:ext>
              </a:extLst>
            </xdr:cNvPr>
            <xdr:cNvGrpSpPr/>
          </xdr:nvGrpSpPr>
          <xdr:grpSpPr>
            <a:xfrm>
              <a:off x="1728108" y="257174"/>
              <a:ext cx="4574721" cy="3658961"/>
              <a:chOff x="1728108" y="256494"/>
              <a:chExt cx="4565196" cy="3645354"/>
            </a:xfrm>
          </xdr:grpSpPr>
          <xdr:sp macro="" textlink="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DD91D25D-A89D-442A-234B-C230252B7C6F}"/>
                  </a:ext>
                </a:extLst>
              </xdr:cNvPr>
              <xdr:cNvSpPr/>
            </xdr:nvSpPr>
            <xdr:spPr>
              <a:xfrm>
                <a:off x="1734230" y="280307"/>
                <a:ext cx="4552951" cy="3621541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23" name="Retângulo: Cantos Superiores Arredondados 22">
                <a:extLst>
                  <a:ext uri="{FF2B5EF4-FFF2-40B4-BE49-F238E27FC236}">
                    <a16:creationId xmlns:a16="http://schemas.microsoft.com/office/drawing/2014/main" id="{F590AF6C-F431-3DAC-8BDB-10DD4F31984F}"/>
                  </a:ext>
                </a:extLst>
              </xdr:cNvPr>
              <xdr:cNvSpPr/>
            </xdr:nvSpPr>
            <xdr:spPr>
              <a:xfrm>
                <a:off x="1728108" y="256494"/>
                <a:ext cx="4565196" cy="906235"/>
              </a:xfrm>
              <a:prstGeom prst="round2SameRect">
                <a:avLst>
                  <a:gd name="adj1" fmla="val 44792"/>
                  <a:gd name="adj2" fmla="val 3125"/>
                </a:avLst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E7032225-95C8-33E5-057A-A2C99FB6AC28}"/>
                </a:ext>
              </a:extLst>
            </xdr:cNvPr>
            <xdr:cNvGraphicFramePr>
              <a:graphicFrameLocks/>
            </xdr:cNvGraphicFramePr>
          </xdr:nvGraphicFramePr>
          <xdr:xfrm>
            <a:off x="1728108" y="1311048"/>
            <a:ext cx="4234543" cy="246561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6154A766-489B-D43F-00B1-58FAC1739330}"/>
                </a:ext>
              </a:extLst>
            </xdr:cNvPr>
            <xdr:cNvSpPr txBox="1"/>
          </xdr:nvSpPr>
          <xdr:spPr>
            <a:xfrm>
              <a:off x="3328987" y="557213"/>
              <a:ext cx="1409700" cy="4048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2000" b="1" kern="1200">
                  <a:solidFill>
                    <a:schemeClr val="bg1"/>
                  </a:solidFill>
                  <a:latin typeface="Arial Narrow" panose="020B0606020202030204" pitchFamily="34" charset="0"/>
                </a:rPr>
                <a:t>Entradas</a:t>
              </a:r>
            </a:p>
          </xdr:txBody>
        </xdr:sp>
      </xdr:grpSp>
      <xdr:pic>
        <xdr:nvPicPr>
          <xdr:cNvPr id="33" name="Gráfico 32" descr="Registrar estrutura de tópicos">
            <a:extLst>
              <a:ext uri="{FF2B5EF4-FFF2-40B4-BE49-F238E27FC236}">
                <a16:creationId xmlns:a16="http://schemas.microsoft.com/office/drawing/2014/main" id="{7C57B874-5F71-914B-1840-8261515DD9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902600" y="240487"/>
            <a:ext cx="914400" cy="91440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6</xdr:row>
      <xdr:rowOff>14285</xdr:rowOff>
    </xdr:from>
    <xdr:to>
      <xdr:col>0</xdr:col>
      <xdr:colOff>1228725</xdr:colOff>
      <xdr:row>23</xdr:row>
      <xdr:rowOff>76199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MÊS">
              <a:extLst>
                <a:ext uri="{FF2B5EF4-FFF2-40B4-BE49-F238E27FC236}">
                  <a16:creationId xmlns:a16="http://schemas.microsoft.com/office/drawing/2014/main" id="{2B7FA693-4052-4EE7-9C66-AE4901C44A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00135"/>
              <a:ext cx="1228725" cy="31384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71438</xdr:rowOff>
    </xdr:from>
    <xdr:to>
      <xdr:col>1</xdr:col>
      <xdr:colOff>4763</xdr:colOff>
      <xdr:row>4</xdr:row>
      <xdr:rowOff>142876</xdr:rowOff>
    </xdr:to>
    <xdr:sp macro="" textlink="">
      <xdr:nvSpPr>
        <xdr:cNvPr id="51" name="Retângulo: Cantos Arredondados 50">
          <a:extLst>
            <a:ext uri="{FF2B5EF4-FFF2-40B4-BE49-F238E27FC236}">
              <a16:creationId xmlns:a16="http://schemas.microsoft.com/office/drawing/2014/main" id="{B6DD4CDC-80D2-A2A2-44F6-F8D78AE3C830}"/>
            </a:ext>
          </a:extLst>
        </xdr:cNvPr>
        <xdr:cNvSpPr/>
      </xdr:nvSpPr>
      <xdr:spPr>
        <a:xfrm>
          <a:off x="0" y="71438"/>
          <a:ext cx="1243013" cy="79533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1003">
          <a:schemeClr val="dk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pt-BR" sz="1200" kern="12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Financial</a:t>
          </a:r>
          <a:r>
            <a:rPr lang="pt-BR" sz="1200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APP</a:t>
          </a:r>
          <a:endParaRPr lang="pt-BR" sz="1200" kern="120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85044</xdr:colOff>
      <xdr:row>0</xdr:row>
      <xdr:rowOff>0</xdr:rowOff>
    </xdr:from>
    <xdr:to>
      <xdr:col>20</xdr:col>
      <xdr:colOff>23813</xdr:colOff>
      <xdr:row>4</xdr:row>
      <xdr:rowOff>171450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7C9A0A51-B422-A2F6-492D-056BA9FB6E26}"/>
            </a:ext>
          </a:extLst>
        </xdr:cNvPr>
        <xdr:cNvGrpSpPr/>
      </xdr:nvGrpSpPr>
      <xdr:grpSpPr>
        <a:xfrm>
          <a:off x="1323294" y="0"/>
          <a:ext cx="12245069" cy="895350"/>
          <a:chOff x="1323294" y="0"/>
          <a:chExt cx="12792075" cy="895350"/>
        </a:xfrm>
      </xdr:grpSpPr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A77F54B3-D086-E764-91AE-5BC78788921F}"/>
              </a:ext>
            </a:extLst>
          </xdr:cNvPr>
          <xdr:cNvSpPr/>
        </xdr:nvSpPr>
        <xdr:spPr>
          <a:xfrm>
            <a:off x="1323294" y="28575"/>
            <a:ext cx="12792075" cy="86677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40" name="Retângulo 39">
            <a:extLst>
              <a:ext uri="{FF2B5EF4-FFF2-40B4-BE49-F238E27FC236}">
                <a16:creationId xmlns:a16="http://schemas.microsoft.com/office/drawing/2014/main" id="{5FA2C9C9-3C52-D8D6-DFA1-2FFA531E7821}"/>
              </a:ext>
            </a:extLst>
          </xdr:cNvPr>
          <xdr:cNvSpPr/>
        </xdr:nvSpPr>
        <xdr:spPr>
          <a:xfrm>
            <a:off x="1438273" y="80961"/>
            <a:ext cx="900114" cy="747715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pSp>
        <xdr:nvGrpSpPr>
          <xdr:cNvPr id="44" name="Agrupar 43">
            <a:extLst>
              <a:ext uri="{FF2B5EF4-FFF2-40B4-BE49-F238E27FC236}">
                <a16:creationId xmlns:a16="http://schemas.microsoft.com/office/drawing/2014/main" id="{5D49161A-304F-F888-822D-D35F9E72AFB9}"/>
              </a:ext>
            </a:extLst>
          </xdr:cNvPr>
          <xdr:cNvGrpSpPr/>
        </xdr:nvGrpSpPr>
        <xdr:grpSpPr>
          <a:xfrm>
            <a:off x="8372475" y="180975"/>
            <a:ext cx="2776538" cy="261938"/>
            <a:chOff x="8372475" y="180975"/>
            <a:chExt cx="2776538" cy="261938"/>
          </a:xfrm>
        </xdr:grpSpPr>
        <xdr:sp macro="" textlink="">
          <xdr:nvSpPr>
            <xdr:cNvPr id="41" name="CaixaDeTexto 40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2D2C6F00-D6A8-3200-57C9-C6ECA2774CF7}"/>
                </a:ext>
              </a:extLst>
            </xdr:cNvPr>
            <xdr:cNvSpPr txBox="1"/>
          </xdr:nvSpPr>
          <xdr:spPr>
            <a:xfrm>
              <a:off x="8372475" y="180975"/>
              <a:ext cx="2776538" cy="261938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100" kern="1200">
                  <a:solidFill>
                    <a:schemeClr val="bg1">
                      <a:lumMod val="50000"/>
                    </a:schemeClr>
                  </a:solidFill>
                </a:rPr>
                <a:t>pesquisar dados...</a:t>
              </a:r>
            </a:p>
          </xdr:txBody>
        </xdr:sp>
        <xdr:pic>
          <xdr:nvPicPr>
            <xdr:cNvPr id="43" name="Gráfico 42" descr="Lupa com preenchimento sólido">
              <a:extLst>
                <a:ext uri="{FF2B5EF4-FFF2-40B4-BE49-F238E27FC236}">
                  <a16:creationId xmlns:a16="http://schemas.microsoft.com/office/drawing/2014/main" id="{3B5542BE-0D9F-F440-00CA-BC308B7C82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10844213" y="195264"/>
              <a:ext cx="233362" cy="233362"/>
            </a:xfrm>
            <a:prstGeom prst="rect">
              <a:avLst/>
            </a:prstGeom>
          </xdr:spPr>
        </xdr:pic>
      </xdr:grp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C7FBE64C-61E1-01F0-2685-541A599E44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1612" y="0"/>
            <a:ext cx="866775" cy="770466"/>
          </a:xfrm>
          <a:prstGeom prst="rect">
            <a:avLst/>
          </a:prstGeom>
        </xdr:spPr>
      </xdr:pic>
      <xdr:sp macro="" textlink="">
        <xdr:nvSpPr>
          <xdr:cNvPr id="52" name="CaixaDeTexto 51">
            <a:extLst>
              <a:ext uri="{FF2B5EF4-FFF2-40B4-BE49-F238E27FC236}">
                <a16:creationId xmlns:a16="http://schemas.microsoft.com/office/drawing/2014/main" id="{86ED34BE-A145-DB25-7619-3E8AD39834FD}"/>
              </a:ext>
            </a:extLst>
          </xdr:cNvPr>
          <xdr:cNvSpPr txBox="1"/>
        </xdr:nvSpPr>
        <xdr:spPr>
          <a:xfrm>
            <a:off x="2571750" y="180975"/>
            <a:ext cx="904875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kern="120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Olá,</a:t>
            </a:r>
            <a:r>
              <a:rPr lang="pt-BR" sz="1400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 Cris</a:t>
            </a:r>
            <a:endParaRPr lang="pt-BR" sz="1400" kern="1200">
              <a:solidFill>
                <a:sysClr val="windowText" lastClr="000000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54" name="CaixaDeTexto 53">
            <a:extLst>
              <a:ext uri="{FF2B5EF4-FFF2-40B4-BE49-F238E27FC236}">
                <a16:creationId xmlns:a16="http://schemas.microsoft.com/office/drawing/2014/main" id="{C473CE3E-B5B0-7990-2903-7F09148BDF44}"/>
              </a:ext>
            </a:extLst>
          </xdr:cNvPr>
          <xdr:cNvSpPr txBox="1"/>
        </xdr:nvSpPr>
        <xdr:spPr>
          <a:xfrm>
            <a:off x="2552700" y="476250"/>
            <a:ext cx="2257426" cy="2524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 kern="1200">
                <a:solidFill>
                  <a:schemeClr val="bg1">
                    <a:lumMod val="50000"/>
                  </a:schemeClr>
                </a:solidFill>
                <a:latin typeface="Arial Narrow" panose="020B0606020202030204" pitchFamily="34" charset="0"/>
              </a:rPr>
              <a:t>Acompanhamento financeiro</a:t>
            </a:r>
          </a:p>
        </xdr:txBody>
      </xdr:sp>
    </xdr:grpSp>
    <xdr:clientData/>
  </xdr:twoCellAnchor>
  <xdr:twoCellAnchor editAs="oneCell">
    <xdr:from>
      <xdr:col>0</xdr:col>
      <xdr:colOff>676277</xdr:colOff>
      <xdr:row>2</xdr:row>
      <xdr:rowOff>147637</xdr:rowOff>
    </xdr:from>
    <xdr:to>
      <xdr:col>0</xdr:col>
      <xdr:colOff>1004886</xdr:colOff>
      <xdr:row>4</xdr:row>
      <xdr:rowOff>114296</xdr:rowOff>
    </xdr:to>
    <xdr:pic>
      <xdr:nvPicPr>
        <xdr:cNvPr id="60" name="Gráfico 59" descr="Moedas estrutura de tópicos">
          <a:extLst>
            <a:ext uri="{FF2B5EF4-FFF2-40B4-BE49-F238E27FC236}">
              <a16:creationId xmlns:a16="http://schemas.microsoft.com/office/drawing/2014/main" id="{F1204DA9-20D4-2316-053C-2FAEF0449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76277" y="509587"/>
          <a:ext cx="328609" cy="328609"/>
        </a:xfrm>
        <a:prstGeom prst="rect">
          <a:avLst/>
        </a:prstGeom>
      </xdr:spPr>
    </xdr:pic>
    <xdr:clientData/>
  </xdr:twoCellAnchor>
  <xdr:twoCellAnchor>
    <xdr:from>
      <xdr:col>11</xdr:col>
      <xdr:colOff>538162</xdr:colOff>
      <xdr:row>5</xdr:row>
      <xdr:rowOff>150037</xdr:rowOff>
    </xdr:from>
    <xdr:to>
      <xdr:col>19</xdr:col>
      <xdr:colOff>366713</xdr:colOff>
      <xdr:row>30</xdr:row>
      <xdr:rowOff>90488</xdr:rowOff>
    </xdr:to>
    <xdr:grpSp>
      <xdr:nvGrpSpPr>
        <xdr:cNvPr id="80" name="Agrupar 79">
          <a:extLst>
            <a:ext uri="{FF2B5EF4-FFF2-40B4-BE49-F238E27FC236}">
              <a16:creationId xmlns:a16="http://schemas.microsoft.com/office/drawing/2014/main" id="{1212DD48-BB70-3CB4-98BA-8E55B4429069}"/>
            </a:ext>
          </a:extLst>
        </xdr:cNvPr>
        <xdr:cNvGrpSpPr/>
      </xdr:nvGrpSpPr>
      <xdr:grpSpPr>
        <a:xfrm>
          <a:off x="8253412" y="1054912"/>
          <a:ext cx="5010151" cy="4464826"/>
          <a:chOff x="6457949" y="1002525"/>
          <a:chExt cx="4638676" cy="3805237"/>
        </a:xfrm>
      </xdr:grpSpPr>
      <xdr:grpSp>
        <xdr:nvGrpSpPr>
          <xdr:cNvPr id="62" name="Agrupar 61">
            <a:extLst>
              <a:ext uri="{FF2B5EF4-FFF2-40B4-BE49-F238E27FC236}">
                <a16:creationId xmlns:a16="http://schemas.microsoft.com/office/drawing/2014/main" id="{699C2740-E472-60D7-991B-A8DD4FFDA6F0}"/>
              </a:ext>
            </a:extLst>
          </xdr:cNvPr>
          <xdr:cNvGrpSpPr/>
        </xdr:nvGrpSpPr>
        <xdr:grpSpPr>
          <a:xfrm>
            <a:off x="6457949" y="1002525"/>
            <a:ext cx="4582873" cy="3658961"/>
            <a:chOff x="1713820" y="257174"/>
            <a:chExt cx="4582873" cy="3658961"/>
          </a:xfrm>
        </xdr:grpSpPr>
        <xdr:grpSp>
          <xdr:nvGrpSpPr>
            <xdr:cNvPr id="64" name="Agrupar 63">
              <a:extLst>
                <a:ext uri="{FF2B5EF4-FFF2-40B4-BE49-F238E27FC236}">
                  <a16:creationId xmlns:a16="http://schemas.microsoft.com/office/drawing/2014/main" id="{4887CB8C-4074-91AC-8563-A38F6B4887A3}"/>
                </a:ext>
              </a:extLst>
            </xdr:cNvPr>
            <xdr:cNvGrpSpPr/>
          </xdr:nvGrpSpPr>
          <xdr:grpSpPr>
            <a:xfrm>
              <a:off x="1713820" y="257174"/>
              <a:ext cx="4582873" cy="3658961"/>
              <a:chOff x="1713850" y="256494"/>
              <a:chExt cx="4573331" cy="3645354"/>
            </a:xfrm>
          </xdr:grpSpPr>
          <xdr:sp macro="" textlink="">
            <xdr:nvSpPr>
              <xdr:cNvPr id="67" name="Retângulo: Cantos Arredondados 66">
                <a:extLst>
                  <a:ext uri="{FF2B5EF4-FFF2-40B4-BE49-F238E27FC236}">
                    <a16:creationId xmlns:a16="http://schemas.microsoft.com/office/drawing/2014/main" id="{36AAFEC0-00AE-0302-0148-AC51D32EF1E5}"/>
                  </a:ext>
                </a:extLst>
              </xdr:cNvPr>
              <xdr:cNvSpPr/>
            </xdr:nvSpPr>
            <xdr:spPr>
              <a:xfrm>
                <a:off x="1734230" y="280307"/>
                <a:ext cx="4552951" cy="3621541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68" name="Retângulo: Cantos Superiores Arredondados 67">
                <a:extLst>
                  <a:ext uri="{FF2B5EF4-FFF2-40B4-BE49-F238E27FC236}">
                    <a16:creationId xmlns:a16="http://schemas.microsoft.com/office/drawing/2014/main" id="{4C4C2DD3-FB2A-C188-8327-1DB1857DE05B}"/>
                  </a:ext>
                </a:extLst>
              </xdr:cNvPr>
              <xdr:cNvSpPr/>
            </xdr:nvSpPr>
            <xdr:spPr>
              <a:xfrm>
                <a:off x="1713850" y="256494"/>
                <a:ext cx="4565196" cy="906235"/>
              </a:xfrm>
              <a:prstGeom prst="round2SameRect">
                <a:avLst>
                  <a:gd name="adj1" fmla="val 44792"/>
                  <a:gd name="adj2" fmla="val 3125"/>
                </a:avLst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sp macro="" textlink="">
          <xdr:nvSpPr>
            <xdr:cNvPr id="66" name="CaixaDeTexto 65">
              <a:extLst>
                <a:ext uri="{FF2B5EF4-FFF2-40B4-BE49-F238E27FC236}">
                  <a16:creationId xmlns:a16="http://schemas.microsoft.com/office/drawing/2014/main" id="{419557B9-C5B1-0813-3B59-1EB2AFBB4E60}"/>
                </a:ext>
              </a:extLst>
            </xdr:cNvPr>
            <xdr:cNvSpPr txBox="1"/>
          </xdr:nvSpPr>
          <xdr:spPr>
            <a:xfrm>
              <a:off x="3328987" y="557213"/>
              <a:ext cx="1409700" cy="4048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2000" b="1" kern="1200">
                  <a:solidFill>
                    <a:schemeClr val="bg1"/>
                  </a:solidFill>
                  <a:latin typeface="Arial Narrow" panose="020B0606020202030204" pitchFamily="34" charset="0"/>
                </a:rPr>
                <a:t>Economias</a:t>
              </a:r>
            </a:p>
          </xdr:txBody>
        </xdr:sp>
      </xdr:grpSp>
      <xdr:pic>
        <xdr:nvPicPr>
          <xdr:cNvPr id="77" name="Gráfico 76" descr="Cofrinho estrutura de tópicos">
            <a:extLst>
              <a:ext uri="{FF2B5EF4-FFF2-40B4-BE49-F238E27FC236}">
                <a16:creationId xmlns:a16="http://schemas.microsoft.com/office/drawing/2014/main" id="{CD506DF9-5401-46EB-4C01-64AE0F9BE9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6719888" y="1023937"/>
            <a:ext cx="914400" cy="914400"/>
          </a:xfrm>
          <a:prstGeom prst="rect">
            <a:avLst/>
          </a:prstGeom>
        </xdr:spPr>
      </xdr:pic>
      <xdr:graphicFrame macro="">
        <xdr:nvGraphicFramePr>
          <xdr:cNvPr id="78" name="Gráfico 77">
            <a:extLst>
              <a:ext uri="{FF2B5EF4-FFF2-40B4-BE49-F238E27FC236}">
                <a16:creationId xmlns:a16="http://schemas.microsoft.com/office/drawing/2014/main" id="{D5023B36-042D-4DFE-A83F-8AC7C86B9E64}"/>
              </a:ext>
            </a:extLst>
          </xdr:cNvPr>
          <xdr:cNvGraphicFramePr>
            <a:graphicFrameLocks/>
          </xdr:cNvGraphicFramePr>
        </xdr:nvGraphicFramePr>
        <xdr:xfrm>
          <a:off x="6524625" y="2064562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e Coelho Reindel" refreshedDate="45669.931111226855" createdVersion="8" refreshedVersion="8" minRefreshableVersion="3" recordCount="30" xr:uid="{F00E47F6-EDC0-4CA0-AC29-709227DADE59}">
  <cacheSource type="worksheet">
    <worksheetSource name="Tbl_operations"/>
  </cacheSource>
  <cacheFields count="8">
    <cacheField name="DATA" numFmtId="14">
      <sharedItems containsNonDate="0"/>
    </cacheField>
    <cacheField name="MÊS" numFmtId="0">
      <sharedItems containsSemiMixedTypes="0" containsString="0" containsNumber="1" containsInteger="1" minValue="1" maxValue="12" count="12">
        <n v="1"/>
        <n v="6"/>
        <n v="11"/>
        <n v="5"/>
        <n v="8"/>
        <n v="10"/>
        <n v="3"/>
        <n v="12"/>
        <n v="7"/>
        <n v="9"/>
        <n v="2"/>
        <n v="4"/>
      </sharedItems>
    </cacheField>
    <cacheField name="TIPO " numFmtId="0">
      <sharedItems count="2">
        <s v="Saída"/>
        <s v="Entrada"/>
      </sharedItems>
    </cacheField>
    <cacheField name="CATEGORIA" numFmtId="0">
      <sharedItems count="20">
        <s v="Investimentos"/>
        <s v="Educação"/>
        <s v="Serviços"/>
        <s v="Alimentação"/>
        <s v="Lazer"/>
        <s v="Transporte"/>
        <s v="Saúde"/>
        <s v="Moradia"/>
        <s v="Renda Fixa" u="1"/>
        <s v="Vestuário" u="1"/>
        <s v="Eletrônicos" u="1"/>
        <s v="Utilidades Domésticas" u="1"/>
        <s v="Presentes" u="1"/>
        <s v="Beleza" u="1"/>
        <s v="Pet Care" u="1"/>
        <s v="Viagem" u="1"/>
        <s v="Gastronomia" u="1"/>
        <s v="Freelance" u="1"/>
        <s v="Utilidades Dom." u="1"/>
        <s v="Venda de ativos" u="1"/>
      </sharedItems>
    </cacheField>
    <cacheField name="DESCRIÇÃO" numFmtId="0">
      <sharedItems/>
    </cacheField>
    <cacheField name="VALOR" numFmtId="166">
      <sharedItems containsSemiMixedTypes="0" containsString="0" containsNumber="1" minValue="229.18" maxValue="4810.4799999999996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7747998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07/01/2025"/>
    <x v="0"/>
    <x v="0"/>
    <x v="0"/>
    <s v="Manutenção residencial"/>
    <n v="2347.4499999999998"/>
    <s v="Boleto"/>
    <s v="Recebido"/>
  </r>
  <r>
    <s v="25/06/2024"/>
    <x v="1"/>
    <x v="1"/>
    <x v="1"/>
    <s v="Mensalidade escolar"/>
    <n v="4059.36"/>
    <s v="Pagamento"/>
    <s v="Pago"/>
  </r>
  <r>
    <s v="12/11/2024"/>
    <x v="2"/>
    <x v="0"/>
    <x v="2"/>
    <s v="Mensalidade escolar"/>
    <n v="1297.68"/>
    <s v="Boleto"/>
    <s v="Recebido"/>
  </r>
  <r>
    <s v="02/11/2024"/>
    <x v="2"/>
    <x v="0"/>
    <x v="1"/>
    <s v="Consulta médica"/>
    <n v="1620.45"/>
    <s v="Depósito"/>
    <s v="Recebido"/>
  </r>
  <r>
    <s v="17/05/2024"/>
    <x v="3"/>
    <x v="0"/>
    <x v="3"/>
    <s v="Refeição em restaurante"/>
    <n v="229.18"/>
    <s v="Depósito"/>
    <s v="Recebido"/>
  </r>
  <r>
    <s v="17/08/2024"/>
    <x v="4"/>
    <x v="0"/>
    <x v="2"/>
    <s v="Mensalidade escolar"/>
    <n v="3455.84"/>
    <s v="Depósito"/>
    <s v="Pago"/>
  </r>
  <r>
    <s v="24/08/2024"/>
    <x v="4"/>
    <x v="1"/>
    <x v="4"/>
    <s v="Compra online"/>
    <n v="322.74"/>
    <s v="Transferência"/>
    <s v="Recebido"/>
  </r>
  <r>
    <s v="20/06/2024"/>
    <x v="1"/>
    <x v="1"/>
    <x v="5"/>
    <s v="Manutenção residencial"/>
    <n v="3325.71"/>
    <s v="Transferência"/>
    <s v="Recebido"/>
  </r>
  <r>
    <s v="19/10/2024"/>
    <x v="5"/>
    <x v="1"/>
    <x v="5"/>
    <s v="Manutenção residencial"/>
    <n v="3826.19"/>
    <s v="Depósito"/>
    <s v="Recebido"/>
  </r>
  <r>
    <s v="11/11/2024"/>
    <x v="2"/>
    <x v="0"/>
    <x v="3"/>
    <s v="Pagamento de conta"/>
    <n v="4207.3599999999997"/>
    <s v="Pagamento"/>
    <s v="Pago"/>
  </r>
  <r>
    <s v="15/03/2024"/>
    <x v="6"/>
    <x v="1"/>
    <x v="1"/>
    <s v="Refeição em restaurante"/>
    <n v="950.43"/>
    <s v="Boleto"/>
    <s v="Recebido"/>
  </r>
  <r>
    <s v="31/12/2024"/>
    <x v="7"/>
    <x v="1"/>
    <x v="6"/>
    <s v="Mensalidade escolar"/>
    <n v="3610.52"/>
    <s v="Transferência"/>
    <s v="Pendente"/>
  </r>
  <r>
    <s v="18/07/2024"/>
    <x v="8"/>
    <x v="1"/>
    <x v="5"/>
    <s v="Consulta médica"/>
    <n v="1793.56"/>
    <s v="Boleto"/>
    <s v="Pendente"/>
  </r>
  <r>
    <s v="08/10/2024"/>
    <x v="5"/>
    <x v="0"/>
    <x v="6"/>
    <s v="Manutenção residencial"/>
    <n v="4809.83"/>
    <s v="Pix"/>
    <s v="Recebido"/>
  </r>
  <r>
    <s v="02/07/2024"/>
    <x v="8"/>
    <x v="1"/>
    <x v="7"/>
    <s v="Compra em supermercado"/>
    <n v="3915.5"/>
    <s v="Pagamento"/>
    <s v="Recebido"/>
  </r>
  <r>
    <s v="10/07/2024"/>
    <x v="8"/>
    <x v="1"/>
    <x v="5"/>
    <s v="Compra online"/>
    <n v="2318.98"/>
    <s v="Pagamento"/>
    <s v="Pago"/>
  </r>
  <r>
    <s v="14/09/2024"/>
    <x v="9"/>
    <x v="0"/>
    <x v="6"/>
    <s v="Consulta médica"/>
    <n v="1570.91"/>
    <s v="Transferência"/>
    <s v="Recebido"/>
  </r>
  <r>
    <s v="11/06/2024"/>
    <x v="1"/>
    <x v="1"/>
    <x v="5"/>
    <s v="Compra em supermercado"/>
    <n v="4091.35"/>
    <s v="Boleto"/>
    <s v="Recebido"/>
  </r>
  <r>
    <s v="05/06/2024"/>
    <x v="1"/>
    <x v="0"/>
    <x v="1"/>
    <s v="Compra em supermercado"/>
    <n v="4810.4799999999996"/>
    <s v="Boleto"/>
    <s v="Recebido"/>
  </r>
  <r>
    <s v="26/02/2024"/>
    <x v="10"/>
    <x v="1"/>
    <x v="1"/>
    <s v="Depósito bancário"/>
    <n v="1760.67"/>
    <s v="Depósito"/>
    <s v="Pago"/>
  </r>
  <r>
    <s v="24/08/2024"/>
    <x v="4"/>
    <x v="1"/>
    <x v="3"/>
    <s v="Refeição em restaurante"/>
    <n v="3938.17"/>
    <s v="Boleto"/>
    <s v="Pendente"/>
  </r>
  <r>
    <s v="28/09/2024"/>
    <x v="9"/>
    <x v="0"/>
    <x v="5"/>
    <s v="Mensalidade escolar"/>
    <n v="4555.58"/>
    <s v="Pix"/>
    <s v="Pago"/>
  </r>
  <r>
    <s v="12/08/2024"/>
    <x v="4"/>
    <x v="1"/>
    <x v="1"/>
    <s v="Pagamento de conta"/>
    <n v="293.24"/>
    <s v="Depósito"/>
    <s v="Pendente"/>
  </r>
  <r>
    <s v="10/03/2024"/>
    <x v="6"/>
    <x v="0"/>
    <x v="2"/>
    <s v="Pagamento de conta"/>
    <n v="4195.2299999999996"/>
    <s v="Transferência"/>
    <s v="Pago"/>
  </r>
  <r>
    <s v="08/02/2024"/>
    <x v="10"/>
    <x v="0"/>
    <x v="3"/>
    <s v="Mensalidade escolar"/>
    <n v="3518.57"/>
    <s v="Pagamento"/>
    <s v="Pendente"/>
  </r>
  <r>
    <s v="20/10/2024"/>
    <x v="5"/>
    <x v="1"/>
    <x v="1"/>
    <s v="Consulta médica"/>
    <n v="2706.19"/>
    <s v="Boleto"/>
    <s v="Pendente"/>
  </r>
  <r>
    <s v="22/04/2024"/>
    <x v="11"/>
    <x v="1"/>
    <x v="1"/>
    <s v="Pagamento de conta"/>
    <n v="3612.4"/>
    <s v="Boleto"/>
    <s v="Recebido"/>
  </r>
  <r>
    <s v="19/12/2024"/>
    <x v="7"/>
    <x v="0"/>
    <x v="6"/>
    <s v="Manutenção residencial"/>
    <n v="457.06"/>
    <s v="Pagamento"/>
    <s v="Recebido"/>
  </r>
  <r>
    <s v="07/09/2024"/>
    <x v="9"/>
    <x v="1"/>
    <x v="4"/>
    <s v="Mensalidade escolar"/>
    <n v="2994.41"/>
    <s v="Boleto"/>
    <s v="Pendente"/>
  </r>
  <r>
    <s v="09/02/2024"/>
    <x v="10"/>
    <x v="1"/>
    <x v="0"/>
    <s v="Compra em supermercado"/>
    <n v="2195.8000000000002"/>
    <s v="Pagamento"/>
    <s v="Pag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2939A-4658-42D7-99C1-87B1AC0041E3}" name="Tabela dinâmica2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E4:F12" firstHeaderRow="1" firstDataRow="1" firstDataCol="1" rowPageCount="1" colPageCount="1"/>
  <pivotFields count="8">
    <pivotField numFmtId="14" showAll="0"/>
    <pivotField numFmtId="1" showAll="0"/>
    <pivotField axis="axisPage" showAll="0">
      <items count="3">
        <item x="1"/>
        <item x="0"/>
        <item t="default"/>
      </items>
    </pivotField>
    <pivotField axis="axisRow" showAll="0">
      <items count="21">
        <item x="3"/>
        <item m="1" x="13"/>
        <item x="1"/>
        <item m="1" x="10"/>
        <item m="1" x="17"/>
        <item m="1" x="16"/>
        <item x="0"/>
        <item x="4"/>
        <item m="1" x="14"/>
        <item m="1" x="12"/>
        <item m="1" x="8"/>
        <item x="6"/>
        <item x="2"/>
        <item x="5"/>
        <item m="1" x="18"/>
        <item m="1" x="11"/>
        <item m="1" x="19"/>
        <item m="1" x="9"/>
        <item m="1" x="15"/>
        <item x="7"/>
        <item t="default"/>
      </items>
    </pivotField>
    <pivotField showAll="0"/>
    <pivotField dataField="1" numFmtId="166" showAll="0"/>
    <pivotField showAll="0"/>
    <pivotField showAll="0"/>
  </pivotFields>
  <rowFields count="1">
    <field x="3"/>
  </rowFields>
  <rowItems count="8">
    <i>
      <x/>
    </i>
    <i>
      <x v="2"/>
    </i>
    <i>
      <x v="6"/>
    </i>
    <i>
      <x v="7"/>
    </i>
    <i>
      <x v="11"/>
    </i>
    <i>
      <x v="13"/>
    </i>
    <i>
      <x v="19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CED31-0C11-49C8-9B0C-817337452047}" name="Tabela dinâmica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4:B11" firstHeaderRow="1" firstDataRow="1" firstDataCol="1" rowPageCount="1" colPageCount="1"/>
  <pivotFields count="8">
    <pivotField numFmtId="14" showAll="0"/>
    <pivotField numFmtId="1" showAll="0">
      <items count="13">
        <item x="0"/>
        <item x="10"/>
        <item x="6"/>
        <item x="11"/>
        <item x="3"/>
        <item x="1"/>
        <item x="8"/>
        <item x="4"/>
        <item x="9"/>
        <item x="5"/>
        <item x="2"/>
        <item x="7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3"/>
        <item m="1" x="13"/>
        <item x="1"/>
        <item m="1" x="10"/>
        <item m="1" x="17"/>
        <item m="1" x="16"/>
        <item x="0"/>
        <item x="4"/>
        <item m="1" x="14"/>
        <item m="1" x="12"/>
        <item m="1" x="8"/>
        <item x="6"/>
        <item x="2"/>
        <item x="5"/>
        <item m="1" x="18"/>
        <item m="1" x="11"/>
        <item m="1" x="19"/>
        <item m="1" x="9"/>
        <item m="1" x="15"/>
        <item x="7"/>
        <item t="default"/>
      </items>
    </pivotField>
    <pivotField showAll="0"/>
    <pivotField dataField="1" numFmtId="166" showAll="0"/>
    <pivotField showAll="0"/>
    <pivotField showAll="0"/>
  </pivotFields>
  <rowFields count="1">
    <field x="3"/>
  </rowFields>
  <rowItems count="7">
    <i>
      <x/>
    </i>
    <i>
      <x v="2"/>
    </i>
    <i>
      <x v="6"/>
    </i>
    <i>
      <x v="11"/>
    </i>
    <i>
      <x v="12"/>
    </i>
    <i>
      <x v="13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166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0C92DAD0-915C-4178-A02F-3CBDBA6AAEE1}" sourceName="MÊS">
  <pivotTables>
    <pivotTable tabId="2" name="Tabela dinâmica1"/>
  </pivotTables>
  <data>
    <tabular pivotCacheId="774799832">
      <items count="12">
        <i x="0" s="1"/>
        <i x="10" s="1"/>
        <i x="6" s="1"/>
        <i x="3" s="1"/>
        <i x="1" s="1"/>
        <i x="4" s="1"/>
        <i x="9" s="1"/>
        <i x="5" s="1"/>
        <i x="2" s="1"/>
        <i x="7" s="1"/>
        <i x="11" s="1" nd="1"/>
        <i x="8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6540BBD6-E9F6-4FBD-BE06-7161EEA4B378}" cache="SegmentaçãodeDados_MÊS" caption="MÊS" style="SlicerStyleDark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DDA5A-03E2-4F90-9F8F-15ACDF7B6C00}" name="Tbl_operations" displayName="Tbl_operations" ref="A1:H31" totalsRowShown="0" headerRowDxfId="11" dataDxfId="12">
  <autoFilter ref="A1:H31" xr:uid="{049DDA5A-03E2-4F90-9F8F-15ACDF7B6C00}"/>
  <tableColumns count="8">
    <tableColumn id="1" xr3:uid="{A58F5D0A-5D36-4A23-AB8A-D926A1A029C5}" name="DATA" dataDxfId="10"/>
    <tableColumn id="8" xr3:uid="{3CE6B766-3C44-4303-9418-72EF7E7E04FF}" name="MÊS" dataDxfId="6">
      <calculatedColumnFormula>MONTH(A2)</calculatedColumnFormula>
    </tableColumn>
    <tableColumn id="2" xr3:uid="{D301E30C-00FE-435F-ADB2-FE6B9C9D9AA0}" name="TIPO " dataDxfId="9"/>
    <tableColumn id="3" xr3:uid="{02EF2FAD-99FF-4029-A95C-F36D73F45C61}" name="CATEGORIA" dataDxfId="14"/>
    <tableColumn id="4" xr3:uid="{9FB1D4C5-676C-40C3-99B3-8786FEAFC4A2}" name="DESCRIÇÃO" dataDxfId="5"/>
    <tableColumn id="5" xr3:uid="{D7AB04E2-06B3-488D-8B67-CFB4B02271DB}" name="VALOR" dataDxfId="3" dataCellStyle="Moeda"/>
    <tableColumn id="6" xr3:uid="{DF406410-E102-4201-A495-25696CB26AC1}" name="OPERAÇÃO BANCÁRIA" dataDxfId="4"/>
    <tableColumn id="7" xr3:uid="{EE37B62E-9039-4104-B201-0591AA07EBB0}" name="STATUS" dataDxfId="1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D56E32-19F3-45CF-B7C7-4D40115736FE}" name="Tabela3" displayName="Tabela3" ref="C6:D37" totalsRowCount="1">
  <autoFilter ref="C6:D36" xr:uid="{22D56E32-19F3-45CF-B7C7-4D40115736FE}"/>
  <tableColumns count="2">
    <tableColumn id="1" xr3:uid="{A513941B-D6E8-4DC4-8D13-2B8AE0583F8F}" name="Data de lançamento" dataDxfId="2"/>
    <tableColumn id="2" xr3:uid="{B35152F7-B55F-4DFE-9DF7-D220B14343CC}" name="Depósito Reservado" dataDxfId="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H31"/>
  <sheetViews>
    <sheetView workbookViewId="0">
      <selection activeCell="F46" sqref="F46"/>
    </sheetView>
  </sheetViews>
  <sheetFormatPr defaultRowHeight="14.25" x14ac:dyDescent="0.45"/>
  <cols>
    <col min="1" max="1" width="10.19921875" style="2" bestFit="1" customWidth="1"/>
    <col min="2" max="2" width="8.6640625" style="8" bestFit="1" customWidth="1"/>
    <col min="3" max="3" width="9.3984375" style="1" bestFit="1" customWidth="1"/>
    <col min="4" max="4" width="14.53125" style="1" bestFit="1" customWidth="1"/>
    <col min="5" max="5" width="21.6640625" style="1" bestFit="1" customWidth="1"/>
    <col min="6" max="6" width="11.86328125" style="11" bestFit="1" customWidth="1"/>
    <col min="7" max="8" width="23.73046875" style="1" customWidth="1"/>
  </cols>
  <sheetData>
    <row r="1" spans="1:8" x14ac:dyDescent="0.45">
      <c r="A1" s="2" t="s">
        <v>11</v>
      </c>
      <c r="B1" s="8" t="s">
        <v>22</v>
      </c>
      <c r="C1" s="1" t="s">
        <v>12</v>
      </c>
      <c r="D1" s="1" t="s">
        <v>13</v>
      </c>
      <c r="E1" s="1" t="s">
        <v>14</v>
      </c>
      <c r="F1" s="11" t="s">
        <v>15</v>
      </c>
      <c r="G1" s="1" t="s">
        <v>16</v>
      </c>
      <c r="H1" s="1" t="s">
        <v>17</v>
      </c>
    </row>
    <row r="2" spans="1:8" ht="12" customHeight="1" x14ac:dyDescent="0.45">
      <c r="A2" s="9" t="s">
        <v>27</v>
      </c>
      <c r="B2">
        <f t="shared" ref="B2:B31" si="0">MONTH(A2)</f>
        <v>1</v>
      </c>
      <c r="C2" t="s">
        <v>28</v>
      </c>
      <c r="D2" t="s">
        <v>9</v>
      </c>
      <c r="E2" t="s">
        <v>29</v>
      </c>
      <c r="F2" s="5">
        <v>2347.4499999999998</v>
      </c>
      <c r="G2" t="s">
        <v>30</v>
      </c>
      <c r="H2" t="s">
        <v>1</v>
      </c>
    </row>
    <row r="3" spans="1:8" ht="12" customHeight="1" x14ac:dyDescent="0.45">
      <c r="A3" s="9" t="s">
        <v>31</v>
      </c>
      <c r="B3">
        <f t="shared" si="0"/>
        <v>6</v>
      </c>
      <c r="C3" t="s">
        <v>32</v>
      </c>
      <c r="D3" t="s">
        <v>8</v>
      </c>
      <c r="E3" t="s">
        <v>33</v>
      </c>
      <c r="F3" s="5">
        <v>4059.36</v>
      </c>
      <c r="G3" t="s">
        <v>34</v>
      </c>
      <c r="H3" t="s">
        <v>5</v>
      </c>
    </row>
    <row r="4" spans="1:8" ht="12" customHeight="1" x14ac:dyDescent="0.45">
      <c r="A4" s="9" t="s">
        <v>35</v>
      </c>
      <c r="B4">
        <f t="shared" si="0"/>
        <v>11</v>
      </c>
      <c r="C4" t="s">
        <v>28</v>
      </c>
      <c r="D4" t="s">
        <v>10</v>
      </c>
      <c r="E4" t="s">
        <v>33</v>
      </c>
      <c r="F4" s="5">
        <v>1297.68</v>
      </c>
      <c r="G4" t="s">
        <v>30</v>
      </c>
      <c r="H4" t="s">
        <v>1</v>
      </c>
    </row>
    <row r="5" spans="1:8" ht="12" customHeight="1" x14ac:dyDescent="0.45">
      <c r="A5" s="9" t="s">
        <v>36</v>
      </c>
      <c r="B5">
        <f t="shared" si="0"/>
        <v>11</v>
      </c>
      <c r="C5" t="s">
        <v>28</v>
      </c>
      <c r="D5" t="s">
        <v>8</v>
      </c>
      <c r="E5" t="s">
        <v>37</v>
      </c>
      <c r="F5" s="5">
        <v>1620.45</v>
      </c>
      <c r="G5" t="s">
        <v>38</v>
      </c>
      <c r="H5" t="s">
        <v>1</v>
      </c>
    </row>
    <row r="6" spans="1:8" ht="12" customHeight="1" x14ac:dyDescent="0.45">
      <c r="A6" s="9" t="s">
        <v>39</v>
      </c>
      <c r="B6">
        <f t="shared" si="0"/>
        <v>5</v>
      </c>
      <c r="C6" t="s">
        <v>28</v>
      </c>
      <c r="D6" t="s">
        <v>2</v>
      </c>
      <c r="E6" t="s">
        <v>40</v>
      </c>
      <c r="F6" s="5">
        <v>229.18</v>
      </c>
      <c r="G6" t="s">
        <v>38</v>
      </c>
      <c r="H6" t="s">
        <v>1</v>
      </c>
    </row>
    <row r="7" spans="1:8" ht="12" customHeight="1" x14ac:dyDescent="0.45">
      <c r="A7" s="9" t="s">
        <v>41</v>
      </c>
      <c r="B7">
        <f t="shared" si="0"/>
        <v>8</v>
      </c>
      <c r="C7" t="s">
        <v>28</v>
      </c>
      <c r="D7" t="s">
        <v>10</v>
      </c>
      <c r="E7" t="s">
        <v>33</v>
      </c>
      <c r="F7" s="5">
        <v>3455.84</v>
      </c>
      <c r="G7" t="s">
        <v>38</v>
      </c>
      <c r="H7" t="s">
        <v>5</v>
      </c>
    </row>
    <row r="8" spans="1:8" ht="12" customHeight="1" x14ac:dyDescent="0.45">
      <c r="A8" s="9" t="s">
        <v>42</v>
      </c>
      <c r="B8">
        <f t="shared" si="0"/>
        <v>8</v>
      </c>
      <c r="C8" t="s">
        <v>32</v>
      </c>
      <c r="D8" t="s">
        <v>6</v>
      </c>
      <c r="E8" t="s">
        <v>43</v>
      </c>
      <c r="F8" s="5">
        <v>322.74</v>
      </c>
      <c r="G8" t="s">
        <v>0</v>
      </c>
      <c r="H8" t="s">
        <v>1</v>
      </c>
    </row>
    <row r="9" spans="1:8" ht="12" customHeight="1" x14ac:dyDescent="0.45">
      <c r="A9" s="9" t="s">
        <v>44</v>
      </c>
      <c r="B9">
        <f t="shared" si="0"/>
        <v>6</v>
      </c>
      <c r="C9" t="s">
        <v>32</v>
      </c>
      <c r="D9" t="s">
        <v>4</v>
      </c>
      <c r="E9" t="s">
        <v>29</v>
      </c>
      <c r="F9" s="5">
        <v>3325.71</v>
      </c>
      <c r="G9" t="s">
        <v>0</v>
      </c>
      <c r="H9" t="s">
        <v>1</v>
      </c>
    </row>
    <row r="10" spans="1:8" ht="12" customHeight="1" x14ac:dyDescent="0.45">
      <c r="A10" s="9" t="s">
        <v>45</v>
      </c>
      <c r="B10">
        <f t="shared" si="0"/>
        <v>10</v>
      </c>
      <c r="C10" t="s">
        <v>32</v>
      </c>
      <c r="D10" t="s">
        <v>4</v>
      </c>
      <c r="E10" t="s">
        <v>29</v>
      </c>
      <c r="F10" s="5">
        <v>3826.19</v>
      </c>
      <c r="G10" t="s">
        <v>38</v>
      </c>
      <c r="H10" t="s">
        <v>1</v>
      </c>
    </row>
    <row r="11" spans="1:8" ht="12" customHeight="1" x14ac:dyDescent="0.45">
      <c r="A11" s="9" t="s">
        <v>46</v>
      </c>
      <c r="B11">
        <f t="shared" si="0"/>
        <v>11</v>
      </c>
      <c r="C11" t="s">
        <v>28</v>
      </c>
      <c r="D11" t="s">
        <v>2</v>
      </c>
      <c r="E11" t="s">
        <v>47</v>
      </c>
      <c r="F11" s="5">
        <v>4207.3599999999997</v>
      </c>
      <c r="G11" t="s">
        <v>34</v>
      </c>
      <c r="H11" t="s">
        <v>5</v>
      </c>
    </row>
    <row r="12" spans="1:8" ht="12" customHeight="1" x14ac:dyDescent="0.45">
      <c r="A12" s="9" t="s">
        <v>48</v>
      </c>
      <c r="B12">
        <f t="shared" si="0"/>
        <v>3</v>
      </c>
      <c r="C12" t="s">
        <v>32</v>
      </c>
      <c r="D12" t="s">
        <v>8</v>
      </c>
      <c r="E12" t="s">
        <v>40</v>
      </c>
      <c r="F12" s="5">
        <v>950.43</v>
      </c>
      <c r="G12" t="s">
        <v>30</v>
      </c>
      <c r="H12" t="s">
        <v>1</v>
      </c>
    </row>
    <row r="13" spans="1:8" ht="12" customHeight="1" x14ac:dyDescent="0.45">
      <c r="A13" s="9" t="s">
        <v>49</v>
      </c>
      <c r="B13">
        <f t="shared" si="0"/>
        <v>12</v>
      </c>
      <c r="C13" t="s">
        <v>32</v>
      </c>
      <c r="D13" t="s">
        <v>7</v>
      </c>
      <c r="E13" t="s">
        <v>33</v>
      </c>
      <c r="F13" s="5">
        <v>3610.52</v>
      </c>
      <c r="G13" t="s">
        <v>0</v>
      </c>
      <c r="H13" t="s">
        <v>3</v>
      </c>
    </row>
    <row r="14" spans="1:8" ht="12" customHeight="1" x14ac:dyDescent="0.45">
      <c r="A14" s="9" t="s">
        <v>50</v>
      </c>
      <c r="B14">
        <f t="shared" si="0"/>
        <v>7</v>
      </c>
      <c r="C14" t="s">
        <v>32</v>
      </c>
      <c r="D14" t="s">
        <v>4</v>
      </c>
      <c r="E14" t="s">
        <v>37</v>
      </c>
      <c r="F14" s="5">
        <v>1793.56</v>
      </c>
      <c r="G14" t="s">
        <v>30</v>
      </c>
      <c r="H14" t="s">
        <v>3</v>
      </c>
    </row>
    <row r="15" spans="1:8" ht="12" customHeight="1" x14ac:dyDescent="0.45">
      <c r="A15" s="9" t="s">
        <v>51</v>
      </c>
      <c r="B15">
        <f t="shared" si="0"/>
        <v>10</v>
      </c>
      <c r="C15" t="s">
        <v>28</v>
      </c>
      <c r="D15" t="s">
        <v>7</v>
      </c>
      <c r="E15" t="s">
        <v>29</v>
      </c>
      <c r="F15" s="5">
        <v>4809.83</v>
      </c>
      <c r="G15" t="s">
        <v>52</v>
      </c>
      <c r="H15" t="s">
        <v>1</v>
      </c>
    </row>
    <row r="16" spans="1:8" ht="12" customHeight="1" x14ac:dyDescent="0.45">
      <c r="A16" s="9" t="s">
        <v>53</v>
      </c>
      <c r="B16">
        <f t="shared" si="0"/>
        <v>7</v>
      </c>
      <c r="C16" t="s">
        <v>32</v>
      </c>
      <c r="D16" t="s">
        <v>54</v>
      </c>
      <c r="E16" t="s">
        <v>55</v>
      </c>
      <c r="F16" s="5">
        <v>3915.5</v>
      </c>
      <c r="G16" t="s">
        <v>34</v>
      </c>
      <c r="H16" t="s">
        <v>1</v>
      </c>
    </row>
    <row r="17" spans="1:8" ht="12" customHeight="1" x14ac:dyDescent="0.45">
      <c r="A17" s="9" t="s">
        <v>56</v>
      </c>
      <c r="B17">
        <f t="shared" si="0"/>
        <v>7</v>
      </c>
      <c r="C17" t="s">
        <v>32</v>
      </c>
      <c r="D17" t="s">
        <v>4</v>
      </c>
      <c r="E17" t="s">
        <v>43</v>
      </c>
      <c r="F17" s="5">
        <v>2318.98</v>
      </c>
      <c r="G17" t="s">
        <v>34</v>
      </c>
      <c r="H17" t="s">
        <v>5</v>
      </c>
    </row>
    <row r="18" spans="1:8" ht="12" customHeight="1" x14ac:dyDescent="0.45">
      <c r="A18" s="9" t="s">
        <v>57</v>
      </c>
      <c r="B18">
        <f t="shared" si="0"/>
        <v>9</v>
      </c>
      <c r="C18" t="s">
        <v>28</v>
      </c>
      <c r="D18" t="s">
        <v>7</v>
      </c>
      <c r="E18" t="s">
        <v>37</v>
      </c>
      <c r="F18" s="5">
        <v>1570.91</v>
      </c>
      <c r="G18" t="s">
        <v>0</v>
      </c>
      <c r="H18" t="s">
        <v>1</v>
      </c>
    </row>
    <row r="19" spans="1:8" ht="12" customHeight="1" x14ac:dyDescent="0.45">
      <c r="A19" s="9" t="s">
        <v>58</v>
      </c>
      <c r="B19">
        <f t="shared" si="0"/>
        <v>6</v>
      </c>
      <c r="C19" t="s">
        <v>32</v>
      </c>
      <c r="D19" t="s">
        <v>4</v>
      </c>
      <c r="E19" t="s">
        <v>55</v>
      </c>
      <c r="F19" s="5">
        <v>4091.35</v>
      </c>
      <c r="G19" t="s">
        <v>30</v>
      </c>
      <c r="H19" t="s">
        <v>1</v>
      </c>
    </row>
    <row r="20" spans="1:8" ht="12" customHeight="1" x14ac:dyDescent="0.45">
      <c r="A20" s="9" t="s">
        <v>59</v>
      </c>
      <c r="B20">
        <f t="shared" si="0"/>
        <v>6</v>
      </c>
      <c r="C20" t="s">
        <v>28</v>
      </c>
      <c r="D20" t="s">
        <v>8</v>
      </c>
      <c r="E20" t="s">
        <v>55</v>
      </c>
      <c r="F20" s="5">
        <v>4810.4799999999996</v>
      </c>
      <c r="G20" t="s">
        <v>30</v>
      </c>
      <c r="H20" t="s">
        <v>1</v>
      </c>
    </row>
    <row r="21" spans="1:8" ht="12" customHeight="1" x14ac:dyDescent="0.45">
      <c r="A21" s="9" t="s">
        <v>60</v>
      </c>
      <c r="B21">
        <f t="shared" si="0"/>
        <v>2</v>
      </c>
      <c r="C21" t="s">
        <v>32</v>
      </c>
      <c r="D21" t="s">
        <v>8</v>
      </c>
      <c r="E21" t="s">
        <v>61</v>
      </c>
      <c r="F21" s="5">
        <v>1760.67</v>
      </c>
      <c r="G21" t="s">
        <v>38</v>
      </c>
      <c r="H21" t="s">
        <v>5</v>
      </c>
    </row>
    <row r="22" spans="1:8" ht="12" customHeight="1" x14ac:dyDescent="0.45">
      <c r="A22" s="9" t="s">
        <v>42</v>
      </c>
      <c r="B22">
        <f t="shared" si="0"/>
        <v>8</v>
      </c>
      <c r="C22" t="s">
        <v>32</v>
      </c>
      <c r="D22" t="s">
        <v>2</v>
      </c>
      <c r="E22" t="s">
        <v>40</v>
      </c>
      <c r="F22" s="5">
        <v>3938.17</v>
      </c>
      <c r="G22" t="s">
        <v>30</v>
      </c>
      <c r="H22" t="s">
        <v>3</v>
      </c>
    </row>
    <row r="23" spans="1:8" ht="12" customHeight="1" x14ac:dyDescent="0.45">
      <c r="A23" s="9" t="s">
        <v>62</v>
      </c>
      <c r="B23">
        <f t="shared" si="0"/>
        <v>9</v>
      </c>
      <c r="C23" t="s">
        <v>28</v>
      </c>
      <c r="D23" t="s">
        <v>4</v>
      </c>
      <c r="E23" t="s">
        <v>33</v>
      </c>
      <c r="F23" s="5">
        <v>4555.58</v>
      </c>
      <c r="G23" t="s">
        <v>52</v>
      </c>
      <c r="H23" t="s">
        <v>5</v>
      </c>
    </row>
    <row r="24" spans="1:8" ht="12" customHeight="1" x14ac:dyDescent="0.45">
      <c r="A24" s="9" t="s">
        <v>63</v>
      </c>
      <c r="B24">
        <f t="shared" si="0"/>
        <v>8</v>
      </c>
      <c r="C24" t="s">
        <v>32</v>
      </c>
      <c r="D24" t="s">
        <v>8</v>
      </c>
      <c r="E24" t="s">
        <v>47</v>
      </c>
      <c r="F24" s="5">
        <v>293.24</v>
      </c>
      <c r="G24" t="s">
        <v>38</v>
      </c>
      <c r="H24" t="s">
        <v>3</v>
      </c>
    </row>
    <row r="25" spans="1:8" ht="12" customHeight="1" x14ac:dyDescent="0.45">
      <c r="A25" s="9" t="s">
        <v>64</v>
      </c>
      <c r="B25">
        <f t="shared" si="0"/>
        <v>3</v>
      </c>
      <c r="C25" t="s">
        <v>28</v>
      </c>
      <c r="D25" t="s">
        <v>10</v>
      </c>
      <c r="E25" t="s">
        <v>47</v>
      </c>
      <c r="F25" s="5">
        <v>4195.2299999999996</v>
      </c>
      <c r="G25" t="s">
        <v>0</v>
      </c>
      <c r="H25" t="s">
        <v>5</v>
      </c>
    </row>
    <row r="26" spans="1:8" ht="12" customHeight="1" x14ac:dyDescent="0.45">
      <c r="A26" s="9" t="s">
        <v>65</v>
      </c>
      <c r="B26">
        <f t="shared" si="0"/>
        <v>2</v>
      </c>
      <c r="C26" t="s">
        <v>28</v>
      </c>
      <c r="D26" t="s">
        <v>2</v>
      </c>
      <c r="E26" t="s">
        <v>33</v>
      </c>
      <c r="F26" s="5">
        <v>3518.57</v>
      </c>
      <c r="G26" t="s">
        <v>34</v>
      </c>
      <c r="H26" t="s">
        <v>3</v>
      </c>
    </row>
    <row r="27" spans="1:8" ht="12" customHeight="1" x14ac:dyDescent="0.45">
      <c r="A27" s="9" t="s">
        <v>66</v>
      </c>
      <c r="B27">
        <f t="shared" si="0"/>
        <v>10</v>
      </c>
      <c r="C27" t="s">
        <v>32</v>
      </c>
      <c r="D27" t="s">
        <v>8</v>
      </c>
      <c r="E27" t="s">
        <v>37</v>
      </c>
      <c r="F27" s="5">
        <v>2706.19</v>
      </c>
      <c r="G27" t="s">
        <v>30</v>
      </c>
      <c r="H27" t="s">
        <v>3</v>
      </c>
    </row>
    <row r="28" spans="1:8" ht="12" customHeight="1" x14ac:dyDescent="0.45">
      <c r="A28" s="9" t="s">
        <v>67</v>
      </c>
      <c r="B28">
        <f t="shared" si="0"/>
        <v>4</v>
      </c>
      <c r="C28" t="s">
        <v>32</v>
      </c>
      <c r="D28" t="s">
        <v>8</v>
      </c>
      <c r="E28" t="s">
        <v>47</v>
      </c>
      <c r="F28" s="5">
        <v>3612.4</v>
      </c>
      <c r="G28" t="s">
        <v>30</v>
      </c>
      <c r="H28" t="s">
        <v>1</v>
      </c>
    </row>
    <row r="29" spans="1:8" ht="12" customHeight="1" x14ac:dyDescent="0.45">
      <c r="A29" s="9" t="s">
        <v>68</v>
      </c>
      <c r="B29">
        <f t="shared" si="0"/>
        <v>12</v>
      </c>
      <c r="C29" t="s">
        <v>28</v>
      </c>
      <c r="D29" t="s">
        <v>7</v>
      </c>
      <c r="E29" t="s">
        <v>29</v>
      </c>
      <c r="F29" s="5">
        <v>457.06</v>
      </c>
      <c r="G29" t="s">
        <v>34</v>
      </c>
      <c r="H29" t="s">
        <v>1</v>
      </c>
    </row>
    <row r="30" spans="1:8" ht="12" customHeight="1" x14ac:dyDescent="0.45">
      <c r="A30" s="9" t="s">
        <v>69</v>
      </c>
      <c r="B30">
        <f t="shared" si="0"/>
        <v>9</v>
      </c>
      <c r="C30" t="s">
        <v>32</v>
      </c>
      <c r="D30" t="s">
        <v>6</v>
      </c>
      <c r="E30" t="s">
        <v>33</v>
      </c>
      <c r="F30" s="5">
        <v>2994.41</v>
      </c>
      <c r="G30" t="s">
        <v>30</v>
      </c>
      <c r="H30" t="s">
        <v>3</v>
      </c>
    </row>
    <row r="31" spans="1:8" ht="12" customHeight="1" x14ac:dyDescent="0.45">
      <c r="A31" s="9" t="s">
        <v>70</v>
      </c>
      <c r="B31">
        <f t="shared" si="0"/>
        <v>2</v>
      </c>
      <c r="C31" t="s">
        <v>32</v>
      </c>
      <c r="D31" t="s">
        <v>9</v>
      </c>
      <c r="E31" t="s">
        <v>55</v>
      </c>
      <c r="F31" s="5">
        <v>2195.8000000000002</v>
      </c>
      <c r="G31" t="s">
        <v>34</v>
      </c>
      <c r="H3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278C-D475-4893-9860-5AE57917C17C}">
  <sheetPr>
    <tabColor theme="0" tint="-0.499984740745262"/>
  </sheetPr>
  <dimension ref="A1:F12"/>
  <sheetViews>
    <sheetView workbookViewId="0">
      <selection activeCell="E7" sqref="E5:E11"/>
      <pivotSelection pane="bottomRight" showHeader="1" activeRow="6" activeCol="4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defaultRowHeight="14.25" x14ac:dyDescent="0.45"/>
  <cols>
    <col min="1" max="1" width="16.53125" bestFit="1" customWidth="1"/>
    <col min="2" max="2" width="13.86328125" bestFit="1" customWidth="1"/>
    <col min="3" max="3" width="11.796875" bestFit="1" customWidth="1"/>
    <col min="5" max="5" width="16.53125" bestFit="1" customWidth="1"/>
    <col min="6" max="6" width="13.86328125" bestFit="1" customWidth="1"/>
  </cols>
  <sheetData>
    <row r="1" spans="1:6" x14ac:dyDescent="0.45">
      <c r="A1" t="s">
        <v>21</v>
      </c>
    </row>
    <row r="2" spans="1:6" x14ac:dyDescent="0.45">
      <c r="A2" s="3" t="s">
        <v>12</v>
      </c>
      <c r="B2" t="s">
        <v>28</v>
      </c>
      <c r="E2" s="3" t="s">
        <v>12</v>
      </c>
      <c r="F2" t="s">
        <v>32</v>
      </c>
    </row>
    <row r="4" spans="1:6" x14ac:dyDescent="0.45">
      <c r="A4" s="3" t="s">
        <v>18</v>
      </c>
      <c r="B4" t="s">
        <v>20</v>
      </c>
      <c r="E4" s="3" t="s">
        <v>18</v>
      </c>
      <c r="F4" t="s">
        <v>20</v>
      </c>
    </row>
    <row r="5" spans="1:6" x14ac:dyDescent="0.45">
      <c r="A5" s="4" t="s">
        <v>2</v>
      </c>
      <c r="B5" s="5">
        <v>7955.11</v>
      </c>
      <c r="E5" s="4" t="s">
        <v>2</v>
      </c>
      <c r="F5" s="5">
        <v>3938.17</v>
      </c>
    </row>
    <row r="6" spans="1:6" x14ac:dyDescent="0.45">
      <c r="A6" s="4" t="s">
        <v>8</v>
      </c>
      <c r="B6" s="5">
        <v>6430.9299999999994</v>
      </c>
      <c r="E6" s="4" t="s">
        <v>8</v>
      </c>
      <c r="F6" s="5">
        <v>13382.29</v>
      </c>
    </row>
    <row r="7" spans="1:6" x14ac:dyDescent="0.45">
      <c r="A7" s="4" t="s">
        <v>9</v>
      </c>
      <c r="B7" s="5">
        <v>2347.4499999999998</v>
      </c>
      <c r="E7" s="4" t="s">
        <v>9</v>
      </c>
      <c r="F7" s="5">
        <v>2195.8000000000002</v>
      </c>
    </row>
    <row r="8" spans="1:6" x14ac:dyDescent="0.45">
      <c r="A8" s="4" t="s">
        <v>7</v>
      </c>
      <c r="B8" s="5">
        <v>6837.8</v>
      </c>
      <c r="E8" s="4" t="s">
        <v>6</v>
      </c>
      <c r="F8" s="5">
        <v>3317.1499999999996</v>
      </c>
    </row>
    <row r="9" spans="1:6" x14ac:dyDescent="0.45">
      <c r="A9" s="4" t="s">
        <v>10</v>
      </c>
      <c r="B9" s="5">
        <v>8948.75</v>
      </c>
      <c r="E9" s="4" t="s">
        <v>7</v>
      </c>
      <c r="F9" s="5">
        <v>3610.52</v>
      </c>
    </row>
    <row r="10" spans="1:6" x14ac:dyDescent="0.45">
      <c r="A10" s="4" t="s">
        <v>4</v>
      </c>
      <c r="B10" s="5">
        <v>4555.58</v>
      </c>
      <c r="E10" s="4" t="s">
        <v>4</v>
      </c>
      <c r="F10" s="5">
        <v>15355.789999999999</v>
      </c>
    </row>
    <row r="11" spans="1:6" x14ac:dyDescent="0.45">
      <c r="A11" s="4" t="s">
        <v>19</v>
      </c>
      <c r="B11" s="5">
        <v>37075.619999999995</v>
      </c>
      <c r="E11" s="4" t="s">
        <v>54</v>
      </c>
      <c r="F11" s="5">
        <v>3915.5</v>
      </c>
    </row>
    <row r="12" spans="1:6" x14ac:dyDescent="0.45">
      <c r="E12" s="4" t="s">
        <v>19</v>
      </c>
      <c r="F12" s="5">
        <v>45715.219999999994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3EDA-9E2B-47AC-8A22-95E7B1031143}">
  <dimension ref="A1:U37"/>
  <sheetViews>
    <sheetView workbookViewId="0">
      <selection activeCell="G15" sqref="F15:G15"/>
    </sheetView>
  </sheetViews>
  <sheetFormatPr defaultRowHeight="14.25" x14ac:dyDescent="0.45"/>
  <cols>
    <col min="3" max="3" width="18.46484375" customWidth="1"/>
    <col min="4" max="4" width="18.19921875" customWidth="1"/>
  </cols>
  <sheetData>
    <row r="1" spans="1:21" ht="57" customHeight="1" x14ac:dyDescent="0.4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3" spans="1:21" x14ac:dyDescent="0.45">
      <c r="C3" s="10" t="s">
        <v>25</v>
      </c>
      <c r="D3" s="5">
        <f>SUM(Tabela3[Depósito Reservado])</f>
        <v>13263.760000000002</v>
      </c>
    </row>
    <row r="4" spans="1:21" x14ac:dyDescent="0.45">
      <c r="C4" s="10" t="s">
        <v>26</v>
      </c>
      <c r="D4" s="5">
        <v>20000</v>
      </c>
    </row>
    <row r="6" spans="1:21" x14ac:dyDescent="0.45">
      <c r="C6" t="s">
        <v>23</v>
      </c>
      <c r="D6" t="s">
        <v>24</v>
      </c>
    </row>
    <row r="7" spans="1:21" x14ac:dyDescent="0.45">
      <c r="C7" s="9" t="s">
        <v>71</v>
      </c>
      <c r="D7" s="5">
        <v>226.22</v>
      </c>
    </row>
    <row r="8" spans="1:21" x14ac:dyDescent="0.45">
      <c r="C8" s="9" t="s">
        <v>50</v>
      </c>
      <c r="D8" s="5">
        <v>968.46</v>
      </c>
    </row>
    <row r="9" spans="1:21" x14ac:dyDescent="0.45">
      <c r="C9" s="9" t="s">
        <v>72</v>
      </c>
      <c r="D9" s="5">
        <v>196.19</v>
      </c>
    </row>
    <row r="10" spans="1:21" x14ac:dyDescent="0.45">
      <c r="C10" s="9" t="s">
        <v>73</v>
      </c>
      <c r="D10" s="5">
        <v>812.18</v>
      </c>
    </row>
    <row r="11" spans="1:21" x14ac:dyDescent="0.45">
      <c r="C11" s="9" t="s">
        <v>74</v>
      </c>
      <c r="D11" s="5">
        <v>86.5</v>
      </c>
    </row>
    <row r="12" spans="1:21" x14ac:dyDescent="0.45">
      <c r="C12" s="9" t="s">
        <v>75</v>
      </c>
      <c r="D12" s="5">
        <v>948.28</v>
      </c>
    </row>
    <row r="13" spans="1:21" x14ac:dyDescent="0.45">
      <c r="C13" s="9" t="s">
        <v>76</v>
      </c>
      <c r="D13" s="5">
        <v>908.72</v>
      </c>
    </row>
    <row r="14" spans="1:21" x14ac:dyDescent="0.45">
      <c r="C14" s="9" t="s">
        <v>77</v>
      </c>
      <c r="D14" s="5">
        <v>43.6</v>
      </c>
    </row>
    <row r="15" spans="1:21" x14ac:dyDescent="0.45">
      <c r="C15" s="9" t="s">
        <v>78</v>
      </c>
      <c r="D15" s="5">
        <v>21.41</v>
      </c>
    </row>
    <row r="16" spans="1:21" x14ac:dyDescent="0.45">
      <c r="C16" s="9" t="s">
        <v>79</v>
      </c>
      <c r="D16" s="5">
        <v>855.55</v>
      </c>
    </row>
    <row r="17" spans="3:4" x14ac:dyDescent="0.45">
      <c r="C17" s="9" t="s">
        <v>80</v>
      </c>
      <c r="D17" s="5">
        <v>737.58</v>
      </c>
    </row>
    <row r="18" spans="3:4" x14ac:dyDescent="0.45">
      <c r="C18" s="9" t="s">
        <v>81</v>
      </c>
      <c r="D18" s="5">
        <v>660.58</v>
      </c>
    </row>
    <row r="19" spans="3:4" x14ac:dyDescent="0.45">
      <c r="C19" s="9" t="s">
        <v>82</v>
      </c>
      <c r="D19" s="5">
        <v>159.35</v>
      </c>
    </row>
    <row r="20" spans="3:4" x14ac:dyDescent="0.45">
      <c r="C20" s="9" t="s">
        <v>83</v>
      </c>
      <c r="D20" s="5">
        <v>200.44</v>
      </c>
    </row>
    <row r="21" spans="3:4" x14ac:dyDescent="0.45">
      <c r="C21" s="9" t="s">
        <v>84</v>
      </c>
      <c r="D21" s="5">
        <v>310.49</v>
      </c>
    </row>
    <row r="22" spans="3:4" x14ac:dyDescent="0.45">
      <c r="C22" s="9" t="s">
        <v>85</v>
      </c>
      <c r="D22" s="5">
        <v>332.26</v>
      </c>
    </row>
    <row r="23" spans="3:4" x14ac:dyDescent="0.45">
      <c r="C23" s="9" t="s">
        <v>46</v>
      </c>
      <c r="D23" s="5">
        <v>346.25</v>
      </c>
    </row>
    <row r="24" spans="3:4" x14ac:dyDescent="0.45">
      <c r="C24" s="9" t="s">
        <v>86</v>
      </c>
      <c r="D24" s="5">
        <v>624.16999999999996</v>
      </c>
    </row>
    <row r="25" spans="3:4" x14ac:dyDescent="0.45">
      <c r="C25" s="9" t="s">
        <v>87</v>
      </c>
      <c r="D25" s="5">
        <v>112.48</v>
      </c>
    </row>
    <row r="26" spans="3:4" x14ac:dyDescent="0.45">
      <c r="C26" s="9" t="s">
        <v>88</v>
      </c>
      <c r="D26" s="5">
        <v>962.43</v>
      </c>
    </row>
    <row r="27" spans="3:4" x14ac:dyDescent="0.45">
      <c r="C27" s="9" t="s">
        <v>89</v>
      </c>
      <c r="D27" s="5">
        <v>571.07000000000005</v>
      </c>
    </row>
    <row r="28" spans="3:4" x14ac:dyDescent="0.45">
      <c r="C28" s="9" t="s">
        <v>90</v>
      </c>
      <c r="D28" s="5">
        <v>155.1</v>
      </c>
    </row>
    <row r="29" spans="3:4" x14ac:dyDescent="0.45">
      <c r="C29" s="9" t="s">
        <v>91</v>
      </c>
      <c r="D29" s="5">
        <v>761.68</v>
      </c>
    </row>
    <row r="30" spans="3:4" x14ac:dyDescent="0.45">
      <c r="C30" s="9" t="s">
        <v>92</v>
      </c>
      <c r="D30" s="5">
        <v>754.12</v>
      </c>
    </row>
    <row r="31" spans="3:4" x14ac:dyDescent="0.45">
      <c r="C31" s="9" t="s">
        <v>93</v>
      </c>
      <c r="D31" s="5">
        <v>161.16999999999999</v>
      </c>
    </row>
    <row r="32" spans="3:4" x14ac:dyDescent="0.45">
      <c r="C32" s="9" t="s">
        <v>94</v>
      </c>
      <c r="D32" s="5">
        <v>60.78</v>
      </c>
    </row>
    <row r="33" spans="3:4" x14ac:dyDescent="0.45">
      <c r="C33" s="9" t="s">
        <v>64</v>
      </c>
      <c r="D33" s="5">
        <v>797.11</v>
      </c>
    </row>
    <row r="34" spans="3:4" x14ac:dyDescent="0.45">
      <c r="C34" s="9" t="s">
        <v>95</v>
      </c>
      <c r="D34" s="5">
        <v>212.99</v>
      </c>
    </row>
    <row r="35" spans="3:4" x14ac:dyDescent="0.45">
      <c r="C35" s="9" t="s">
        <v>96</v>
      </c>
      <c r="D35" s="5">
        <v>139.44999999999999</v>
      </c>
    </row>
    <row r="36" spans="3:4" x14ac:dyDescent="0.45">
      <c r="C36" s="9" t="s">
        <v>97</v>
      </c>
      <c r="D36" s="5">
        <v>137.15</v>
      </c>
    </row>
    <row r="37" spans="3:4" x14ac:dyDescent="0.45">
      <c r="D37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AB24-F04F-4624-B096-FB956A6855AF}">
  <dimension ref="A1:U1"/>
  <sheetViews>
    <sheetView showGridLines="0" tabSelected="1" zoomScaleNormal="100" workbookViewId="0">
      <selection activeCell="U16" sqref="U16"/>
    </sheetView>
  </sheetViews>
  <sheetFormatPr defaultColWidth="0" defaultRowHeight="14.25" x14ac:dyDescent="0.45"/>
  <cols>
    <col min="1" max="1" width="17.33203125" style="7" customWidth="1"/>
    <col min="2" max="21" width="9.06640625" style="6" customWidth="1"/>
    <col min="22" max="16384" width="9.06640625" style="6" hidden="1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3D8E4-1D6C-4FCF-8D1D-F56D49A3BA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9E30B-54D8-4CE8-A6E5-E0A6CC213332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51DA261A-E008-49B4-91DC-52FE5A914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CONTROLLER</vt:lpstr>
      <vt:lpstr>CAIXINHA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>Cristiane Coelho Reindel</cp:lastModifiedBy>
  <cp:revision/>
  <dcterms:created xsi:type="dcterms:W3CDTF">2015-06-05T18:19:34Z</dcterms:created>
  <dcterms:modified xsi:type="dcterms:W3CDTF">2025-01-13T02:28:33Z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